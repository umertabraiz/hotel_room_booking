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One-Time Setup" sheetId="2" r:id="rId5"/>
    <sheet state="visible" name="Monthly Costs" sheetId="3" r:id="rId6"/>
    <sheet state="visible" name="Manual vs Automation" sheetId="4" r:id="rId7"/>
  </sheets>
  <definedNames/>
  <calcPr/>
</workbook>
</file>

<file path=xl/sharedStrings.xml><?xml version="1.0" encoding="utf-8"?>
<sst xmlns="http://schemas.openxmlformats.org/spreadsheetml/2006/main" count="87" uniqueCount="70">
  <si>
    <t>Client Costing Summary</t>
  </si>
  <si>
    <t>Key Figures (editable inputs are blue)</t>
  </si>
  <si>
    <t>Metric</t>
  </si>
  <si>
    <t>Value</t>
  </si>
  <si>
    <t>One-Time Setup Cost</t>
  </si>
  <si>
    <t>Monthly Platform Cost</t>
  </si>
  <si>
    <t>Monthly Maintenance Fee</t>
  </si>
  <si>
    <t>Total Monthly Cost (All-in)</t>
  </si>
  <si>
    <t>Annual Automation Cost</t>
  </si>
  <si>
    <t>Manual Staff Monthly (1 person)</t>
  </si>
  <si>
    <t>Annual Manual Cost</t>
  </si>
  <si>
    <t>Estimated Annual Savings</t>
  </si>
  <si>
    <t>Savings (%)</t>
  </si>
  <si>
    <t>Breakeven (months)</t>
  </si>
  <si>
    <t>Notes</t>
  </si>
  <si>
    <t>• Costs are estimates and can be adjusted by selecting values in the 'Selected (USD)' column.
• LLM cost depends on message volume and model choice.
• Airtable plan may vary depending on number of users and required features.</t>
  </si>
  <si>
    <t>One-Time Setup Cost (Implementation)</t>
  </si>
  <si>
    <t>Component</t>
  </si>
  <si>
    <t>Description</t>
  </si>
  <si>
    <t>Min (USD)</t>
  </si>
  <si>
    <t>Max (USD)</t>
  </si>
  <si>
    <t>Selected (USD)</t>
  </si>
  <si>
    <t>Workflow Design &amp; Architecture</t>
  </si>
  <si>
    <t>End-to-end booking logic, intents, error handling</t>
  </si>
  <si>
    <t>n8n Workflow Development</t>
  </si>
  <si>
    <t>Triggers, AI agent, switch logic, Airtable integration</t>
  </si>
  <si>
    <t>AI Prompt Engineering</t>
  </si>
  <si>
    <t>Intent detection, conversation flow, fallback handling</t>
  </si>
  <si>
    <t>Airtable Setup</t>
  </si>
  <si>
    <t>Inventory tables, pricing logic, booking records</t>
  </si>
  <si>
    <t>Testing &amp; Optimization</t>
  </si>
  <si>
    <t>Bug fixing, real-world scenarios, QA</t>
  </si>
  <si>
    <t>Deployment &amp; Go-Live Support</t>
  </si>
  <si>
    <t>Production setup and handover</t>
  </si>
  <si>
    <t>Total One-Time Setup Cost</t>
  </si>
  <si>
    <t>Monthly Running Costs (Platform &amp; APIs) + Maintenance</t>
  </si>
  <si>
    <t>n8n Hosting</t>
  </si>
  <si>
    <t>Self-hosted / cloud VM</t>
  </si>
  <si>
    <t>AI / LLM Usage</t>
  </si>
  <si>
    <t>GPT-based booking conversations</t>
  </si>
  <si>
    <t>Airtable</t>
  </si>
  <si>
    <t>Pro plan (scalable)</t>
  </si>
  <si>
    <t>Telegram</t>
  </si>
  <si>
    <t>Messaging platform</t>
  </si>
  <si>
    <t>Estimated Monthly Platform Cost</t>
  </si>
  <si>
    <t>Monthly Maintenance &amp; Support (Service Fee)</t>
  </si>
  <si>
    <t>Maintenance &amp; Support Fee</t>
  </si>
  <si>
    <t>Monitoring, minor updates, prompt improvements, bug fixes, client support</t>
  </si>
  <si>
    <t>Estimated Monthly Maintenance Fee</t>
  </si>
  <si>
    <t>Total Monthly Cost (Platform + Maintenance)</t>
  </si>
  <si>
    <t>Cost Comparison: Manual Workforce vs AI Automation</t>
  </si>
  <si>
    <t>Option</t>
  </si>
  <si>
    <t>Monthly Cost (USD)</t>
  </si>
  <si>
    <t>Annual Cost (USD)</t>
  </si>
  <si>
    <t>Availability</t>
  </si>
  <si>
    <t>Error Risk</t>
  </si>
  <si>
    <t>Manual Booking Staff (1 person)</t>
  </si>
  <si>
    <t>8–10 hours/day</t>
  </si>
  <si>
    <t>Higher</t>
  </si>
  <si>
    <t>Typical salary varies by region</t>
  </si>
  <si>
    <t>AI Booking Automation (All-in)</t>
  </si>
  <si>
    <t>24/7</t>
  </si>
  <si>
    <t>Lower</t>
  </si>
  <si>
    <t>Platform + maintenance</t>
  </si>
  <si>
    <t>Manual Staff Salary Range</t>
  </si>
  <si>
    <t>Min</t>
  </si>
  <si>
    <t>Max</t>
  </si>
  <si>
    <t>Selected</t>
  </si>
  <si>
    <t>Monthly salary (assumption)</t>
  </si>
  <si>
    <t>ROI &amp; Savings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</si>
</sst>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"/>
    <numFmt numFmtId="165" formatCode="0.0%"/>
    <numFmt numFmtId="166" formatCode="0.0"/>
  </numFmts>
  <fonts count="11">
    <font>
      <sz val="11.0"/>
      <color/>
      <name val="Arial"/>
      <scheme val="minor"/>
    </font>
    <font>
      <b/>
      <sz val="18.0"/>
    </font>
    <font>
      <b/>
      <sz val="12.0"/>
    </font>
    <font/>
    <font>
      <b/>
      <color rgb="FFFFFFFF"/>
    </font>
    <font>
      <sz val="11.0"/>
      <color/>
      <name val="Calibri"/>
    </font>
    <font>
      <color rgb="FF0000FF"/>
    </font>
    <font>
      <b/>
      <sz val="16.0"/>
    </font>
    <font>
      <b/>
    </font>
    <font>
      <b/>
      <color rgb="FF000000"/>
    </font>
    <font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right style="thin">
        <color rgb="FFA6A6A6"/>
      </right>
      <top style="thin">
        <color rgb="FFA6A6A6"/>
      </top>
    </border>
    <border>
      <left style="thin">
        <color rgb="FFA6A6A6"/>
      </left>
    </border>
    <border>
      <right style="thin">
        <color rgb="FFA6A6A6"/>
      </right>
    </border>
    <border>
      <left style="thin">
        <color rgb="FFA6A6A6"/>
      </left>
      <bottom style="thin">
        <color rgb="FFA6A6A6"/>
      </bottom>
    </border>
    <border>
      <bottom style="thin">
        <color rgb="FFA6A6A6"/>
      </bottom>
    </border>
    <border>
      <right style="thin">
        <color rgb="FFA6A6A6"/>
      </right>
      <bottom style="thin">
        <color rgb="FFA6A6A6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4" fillId="0" fontId="5" numFmtId="0" xfId="0" applyAlignment="1" applyBorder="1" applyFont="1">
      <alignment horizontal="left" shrinkToFit="0" vertical="top" wrapText="1"/>
    </xf>
    <xf borderId="5" fillId="0" fontId="6" numFmtId="164" xfId="0" applyAlignment="1" applyBorder="1" applyFont="1" applyNumberFormat="1">
      <alignment horizontal="right" vertical="center"/>
    </xf>
    <xf borderId="5" fillId="0" fontId="5" numFmtId="164" xfId="0" applyAlignment="1" applyBorder="1" applyFont="1" applyNumberFormat="1">
      <alignment horizontal="right" vertical="center"/>
    </xf>
    <xf borderId="5" fillId="0" fontId="5" numFmtId="165" xfId="0" applyAlignment="1" applyBorder="1" applyFont="1" applyNumberFormat="1">
      <alignment horizontal="right" vertical="center"/>
    </xf>
    <xf borderId="5" fillId="0" fontId="5" numFmtId="166" xfId="0" applyAlignment="1" applyBorder="1" applyFont="1" applyNumberFormat="1">
      <alignment horizontal="right" vertical="center"/>
    </xf>
    <xf borderId="8" fillId="0" fontId="5" numFmtId="0" xfId="0" applyAlignment="1" applyBorder="1" applyFont="1">
      <alignment horizontal="left" shrinkToFit="0" vertical="top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0" fontId="7" numFmtId="0" xfId="0" applyAlignment="1" applyFont="1">
      <alignment horizontal="left" vertical="center"/>
    </xf>
    <xf borderId="4" fillId="0" fontId="5" numFmtId="164" xfId="0" applyAlignment="1" applyBorder="1" applyFont="1" applyNumberFormat="1">
      <alignment horizontal="right" vertical="center"/>
    </xf>
    <xf borderId="4" fillId="0" fontId="6" numFmtId="164" xfId="0" applyAlignment="1" applyBorder="1" applyFont="1" applyNumberFormat="1">
      <alignment horizontal="right" vertical="center"/>
    </xf>
    <xf borderId="5" fillId="4" fontId="8" numFmtId="0" xfId="0" applyAlignment="1" applyBorder="1" applyFill="1" applyFont="1">
      <alignment horizontal="left" vertical="center"/>
    </xf>
    <xf borderId="4" fillId="4" fontId="9" numFmtId="164" xfId="0" applyAlignment="1" applyBorder="1" applyFont="1" applyNumberFormat="1">
      <alignment horizontal="right" vertical="center"/>
    </xf>
    <xf borderId="0" fillId="0" fontId="7" numFmtId="0" xfId="0" applyFont="1"/>
    <xf borderId="4" fillId="4" fontId="8" numFmtId="164" xfId="0" applyAlignment="1" applyBorder="1" applyFont="1" applyNumberFormat="1">
      <alignment horizontal="right" vertical="center"/>
    </xf>
    <xf borderId="5" fillId="5" fontId="2" numFmtId="0" xfId="0" applyAlignment="1" applyBorder="1" applyFill="1" applyFont="1">
      <alignment horizontal="left" vertical="center"/>
    </xf>
    <xf borderId="4" fillId="5" fontId="2" numFmtId="164" xfId="0" applyAlignment="1" applyBorder="1" applyFont="1" applyNumberFormat="1">
      <alignment horizontal="right" vertical="center"/>
    </xf>
    <xf borderId="4" fillId="0" fontId="10" numFmtId="164" xfId="0" applyAlignment="1" applyBorder="1" applyFont="1" applyNumberFormat="1">
      <alignment horizontal="right" vertical="center"/>
    </xf>
    <xf borderId="4" fillId="0" fontId="5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top" wrapText="1"/>
    </xf>
    <xf borderId="5" fillId="0" fontId="8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75"/>
    <col customWidth="1" min="2" max="4" width="15.75"/>
    <col customWidth="1" min="5" max="11" width="7.63"/>
  </cols>
  <sheetData>
    <row r="1" ht="30.0" customHeight="1">
      <c r="A1" s="1" t="s">
        <v>0</v>
      </c>
    </row>
    <row r="3">
      <c r="A3" s="2" t="s">
        <v>1</v>
      </c>
      <c r="B3" s="3"/>
      <c r="C3" s="3"/>
      <c r="D3" s="4"/>
    </row>
    <row r="4">
      <c r="A4" s="5" t="s">
        <v>2</v>
      </c>
      <c r="B4" s="6" t="s">
        <v>3</v>
      </c>
      <c r="C4" s="7"/>
      <c r="D4" s="8"/>
    </row>
    <row r="5">
      <c r="A5" s="9" t="s">
        <v>4</v>
      </c>
      <c r="B5" s="10" t="str">
        <f>'One-Time Setup'!E11</f>
        <v>$1,200</v>
      </c>
      <c r="C5" s="7"/>
      <c r="D5" s="8"/>
    </row>
    <row r="6">
      <c r="A6" s="9" t="s">
        <v>5</v>
      </c>
      <c r="B6" s="11" t="str">
        <f>'Monthly Costs'!E9</f>
        <v>$63</v>
      </c>
      <c r="C6" s="7"/>
      <c r="D6" s="8"/>
    </row>
    <row r="7">
      <c r="A7" s="9" t="s">
        <v>6</v>
      </c>
      <c r="B7" s="11" t="str">
        <f>'Monthly Costs'!E15</f>
        <v>$150</v>
      </c>
      <c r="C7" s="7"/>
      <c r="D7" s="8"/>
    </row>
    <row r="8">
      <c r="A8" s="9" t="s">
        <v>7</v>
      </c>
      <c r="B8" s="11" t="str">
        <f>'Monthly Costs'!E17</f>
        <v>$213</v>
      </c>
      <c r="C8" s="7"/>
      <c r="D8" s="8"/>
    </row>
    <row r="9">
      <c r="A9" s="9" t="s">
        <v>8</v>
      </c>
      <c r="B9" s="11" t="str">
        <f>'Manual vs Automation'!C5</f>
        <v>$2,556</v>
      </c>
      <c r="C9" s="7"/>
      <c r="D9" s="8"/>
    </row>
    <row r="10">
      <c r="A10" s="9" t="s">
        <v>9</v>
      </c>
      <c r="B10" s="10" t="str">
        <f>'Manual vs Automation'!B4</f>
        <v>$1,000</v>
      </c>
      <c r="C10" s="7"/>
      <c r="D10" s="8"/>
    </row>
    <row r="11">
      <c r="A11" s="9" t="s">
        <v>10</v>
      </c>
      <c r="B11" s="11" t="str">
        <f>'Manual vs Automation'!C4</f>
        <v>$12,000</v>
      </c>
      <c r="C11" s="7"/>
      <c r="D11" s="8"/>
    </row>
    <row r="12">
      <c r="A12" s="9" t="s">
        <v>11</v>
      </c>
      <c r="B12" s="11" t="str">
        <f>'Manual vs Automation'!D12</f>
        <v>$9,444</v>
      </c>
      <c r="C12" s="7"/>
      <c r="D12" s="8"/>
    </row>
    <row r="13">
      <c r="A13" s="9" t="s">
        <v>12</v>
      </c>
      <c r="B13" s="12" t="str">
        <f>'Manual vs Automation'!D13</f>
        <v>78.7%</v>
      </c>
      <c r="C13" s="7"/>
      <c r="D13" s="8"/>
    </row>
    <row r="14">
      <c r="A14" s="9" t="s">
        <v>13</v>
      </c>
      <c r="B14" s="13" t="str">
        <f>'Manual vs Automation'!D15</f>
        <v>1.5</v>
      </c>
      <c r="C14" s="7"/>
      <c r="D14" s="8"/>
    </row>
    <row r="17" ht="19.5" customHeight="1">
      <c r="A17" s="2" t="s">
        <v>14</v>
      </c>
      <c r="B17" s="3"/>
      <c r="C17" s="3"/>
      <c r="D17" s="4"/>
    </row>
    <row r="18" ht="60.0" customHeight="1">
      <c r="A18" s="14" t="s">
        <v>15</v>
      </c>
      <c r="B18" s="15"/>
      <c r="C18" s="15"/>
      <c r="D18" s="16"/>
    </row>
    <row r="19">
      <c r="A19" s="17"/>
      <c r="D19" s="18"/>
    </row>
    <row r="20">
      <c r="A20" s="19"/>
      <c r="B20" s="20"/>
      <c r="C20" s="20"/>
      <c r="D20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5">
    <mergeCell ref="A1:D1"/>
    <mergeCell ref="A3:D3"/>
    <mergeCell ref="B8:D8"/>
    <mergeCell ref="B9:D9"/>
    <mergeCell ref="B13:D13"/>
    <mergeCell ref="B12:D12"/>
    <mergeCell ref="B7:D7"/>
    <mergeCell ref="B6:D6"/>
    <mergeCell ref="B10:D10"/>
    <mergeCell ref="B11:D11"/>
    <mergeCell ref="A17:D17"/>
    <mergeCell ref="B5:D5"/>
    <mergeCell ref="B14:D14"/>
    <mergeCell ref="A18:D20"/>
    <mergeCell ref="B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45.5"/>
    <col customWidth="1" min="3" max="4" width="10.5"/>
    <col customWidth="1" min="5" max="5" width="12.25"/>
    <col customWidth="1" min="6" max="11" width="7.63"/>
  </cols>
  <sheetData>
    <row r="1" ht="27.75" customHeight="1">
      <c r="A1" s="22" t="s">
        <v>16</v>
      </c>
    </row>
    <row r="3" ht="24.0" customHeight="1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</row>
    <row r="4">
      <c r="A4" s="9" t="s">
        <v>22</v>
      </c>
      <c r="B4" s="9" t="s">
        <v>23</v>
      </c>
      <c r="C4" s="23">
        <v>300.0</v>
      </c>
      <c r="D4" s="23">
        <v>300.0</v>
      </c>
      <c r="E4" s="24" t="str">
        <f t="shared" ref="E4:E9" si="1">ROUND(AVERAGE(C4:D4),0)</f>
        <v>$300</v>
      </c>
    </row>
    <row r="5">
      <c r="A5" s="9" t="s">
        <v>24</v>
      </c>
      <c r="B5" s="9" t="s">
        <v>25</v>
      </c>
      <c r="C5" s="23">
        <v>350.0</v>
      </c>
      <c r="D5" s="23">
        <v>350.0</v>
      </c>
      <c r="E5" s="24" t="str">
        <f t="shared" si="1"/>
        <v>$350</v>
      </c>
    </row>
    <row r="6">
      <c r="A6" s="9" t="s">
        <v>26</v>
      </c>
      <c r="B6" s="9" t="s">
        <v>27</v>
      </c>
      <c r="C6" s="23">
        <v>150.0</v>
      </c>
      <c r="D6" s="23">
        <v>150.0</v>
      </c>
      <c r="E6" s="24" t="str">
        <f t="shared" si="1"/>
        <v>$150</v>
      </c>
    </row>
    <row r="7">
      <c r="A7" s="9" t="s">
        <v>28</v>
      </c>
      <c r="B7" s="9" t="s">
        <v>29</v>
      </c>
      <c r="C7" s="23">
        <v>150.0</v>
      </c>
      <c r="D7" s="23">
        <v>150.0</v>
      </c>
      <c r="E7" s="24" t="str">
        <f t="shared" si="1"/>
        <v>$150</v>
      </c>
    </row>
    <row r="8">
      <c r="A8" s="9" t="s">
        <v>30</v>
      </c>
      <c r="B8" s="9" t="s">
        <v>31</v>
      </c>
      <c r="C8" s="23">
        <v>150.0</v>
      </c>
      <c r="D8" s="23">
        <v>150.0</v>
      </c>
      <c r="E8" s="24" t="str">
        <f t="shared" si="1"/>
        <v>$150</v>
      </c>
    </row>
    <row r="9">
      <c r="A9" s="9" t="s">
        <v>32</v>
      </c>
      <c r="B9" s="9" t="s">
        <v>33</v>
      </c>
      <c r="C9" s="23">
        <v>100.0</v>
      </c>
      <c r="D9" s="23">
        <v>100.0</v>
      </c>
      <c r="E9" s="24" t="str">
        <f t="shared" si="1"/>
        <v>$100</v>
      </c>
    </row>
    <row r="11" ht="21.75" customHeight="1">
      <c r="A11" s="25" t="s">
        <v>34</v>
      </c>
      <c r="B11" s="7"/>
      <c r="C11" s="7"/>
      <c r="D11" s="8"/>
      <c r="E11" s="26" t="str">
        <f>SUM(E4:E10)</f>
        <v>$1,200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E1"/>
    <mergeCell ref="A11:D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49.0"/>
    <col customWidth="1" min="3" max="4" width="10.5"/>
    <col customWidth="1" min="5" max="5" width="12.25"/>
    <col customWidth="1" min="6" max="11" width="7.63"/>
  </cols>
  <sheetData>
    <row r="1" ht="27.75" customHeight="1">
      <c r="A1" s="27" t="s">
        <v>35</v>
      </c>
    </row>
    <row r="3" ht="24.0" customHeight="1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</row>
    <row r="4">
      <c r="A4" s="9" t="s">
        <v>36</v>
      </c>
      <c r="B4" s="9" t="s">
        <v>37</v>
      </c>
      <c r="C4" s="23">
        <v>10.0</v>
      </c>
      <c r="D4" s="23">
        <v>15.0</v>
      </c>
      <c r="E4" s="24" t="str">
        <f t="shared" ref="E4:E7" si="1">ROUND(AVERAGE(C4:D4),0)</f>
        <v>$13</v>
      </c>
    </row>
    <row r="5">
      <c r="A5" s="9" t="s">
        <v>38</v>
      </c>
      <c r="B5" s="9" t="s">
        <v>39</v>
      </c>
      <c r="C5" s="23">
        <v>20.0</v>
      </c>
      <c r="D5" s="23">
        <v>40.0</v>
      </c>
      <c r="E5" s="24" t="str">
        <f t="shared" si="1"/>
        <v>$30</v>
      </c>
    </row>
    <row r="6">
      <c r="A6" s="9" t="s">
        <v>40</v>
      </c>
      <c r="B6" s="9" t="s">
        <v>41</v>
      </c>
      <c r="C6" s="23">
        <v>20.0</v>
      </c>
      <c r="D6" s="23">
        <v>20.0</v>
      </c>
      <c r="E6" s="24" t="str">
        <f t="shared" si="1"/>
        <v>$20</v>
      </c>
    </row>
    <row r="7">
      <c r="A7" s="9" t="s">
        <v>42</v>
      </c>
      <c r="B7" s="9" t="s">
        <v>43</v>
      </c>
      <c r="C7" s="23">
        <v>0.0</v>
      </c>
      <c r="D7" s="23">
        <v>0.0</v>
      </c>
      <c r="E7" s="24" t="str">
        <f t="shared" si="1"/>
        <v>$0</v>
      </c>
    </row>
    <row r="9" ht="21.75" customHeight="1">
      <c r="A9" s="25" t="s">
        <v>44</v>
      </c>
      <c r="B9" s="7"/>
      <c r="C9" s="7"/>
      <c r="D9" s="8"/>
      <c r="E9" s="28" t="str">
        <f>SUM(E4:E8)</f>
        <v>$63</v>
      </c>
    </row>
    <row r="11" ht="19.5" customHeight="1">
      <c r="A11" s="2" t="s">
        <v>45</v>
      </c>
      <c r="B11" s="3"/>
      <c r="C11" s="3"/>
      <c r="D11" s="3"/>
      <c r="E11" s="4"/>
    </row>
    <row r="12" ht="24.0" customHeight="1">
      <c r="A12" s="5" t="s">
        <v>17</v>
      </c>
      <c r="B12" s="5" t="s">
        <v>18</v>
      </c>
      <c r="C12" s="5" t="s">
        <v>19</v>
      </c>
      <c r="D12" s="5" t="s">
        <v>20</v>
      </c>
      <c r="E12" s="5" t="s">
        <v>21</v>
      </c>
    </row>
    <row r="13">
      <c r="A13" s="9" t="s">
        <v>46</v>
      </c>
      <c r="B13" s="9" t="s">
        <v>47</v>
      </c>
      <c r="C13" s="23">
        <v>100.0</v>
      </c>
      <c r="D13" s="23">
        <v>200.0</v>
      </c>
      <c r="E13" s="24" t="str">
        <f>ROUND(AVERAGE(C13:D13),0)</f>
        <v>$150</v>
      </c>
    </row>
    <row r="15" ht="21.75" customHeight="1">
      <c r="A15" s="25" t="s">
        <v>48</v>
      </c>
      <c r="B15" s="7"/>
      <c r="C15" s="7"/>
      <c r="D15" s="8"/>
      <c r="E15" s="28" t="str">
        <f>SUM(E13:E14)</f>
        <v>$150</v>
      </c>
    </row>
    <row r="17" ht="24.0" customHeight="1">
      <c r="A17" s="29" t="s">
        <v>49</v>
      </c>
      <c r="B17" s="7"/>
      <c r="C17" s="7"/>
      <c r="D17" s="8"/>
      <c r="E17" s="30" t="str">
        <f>E9+E15</f>
        <v>$213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A17:D17"/>
    <mergeCell ref="A9:D9"/>
    <mergeCell ref="A11:E11"/>
    <mergeCell ref="A15:D15"/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3" width="15.75"/>
    <col customWidth="1" min="4" max="4" width="14.0"/>
    <col customWidth="1" min="5" max="5" width="10.5"/>
    <col customWidth="1" min="6" max="6" width="29.75"/>
    <col customWidth="1" min="7" max="11" width="7.63"/>
  </cols>
  <sheetData>
    <row r="1" ht="27.75" customHeight="1">
      <c r="A1" s="27" t="s">
        <v>50</v>
      </c>
    </row>
    <row r="3" ht="24.0" customHeight="1">
      <c r="A3" s="5" t="s">
        <v>51</v>
      </c>
      <c r="B3" s="5" t="s">
        <v>52</v>
      </c>
      <c r="C3" s="5" t="s">
        <v>53</v>
      </c>
      <c r="D3" s="5" t="s">
        <v>54</v>
      </c>
      <c r="E3" s="5" t="s">
        <v>55</v>
      </c>
      <c r="F3" s="5" t="s">
        <v>14</v>
      </c>
    </row>
    <row r="4">
      <c r="A4" s="9" t="s">
        <v>56</v>
      </c>
      <c r="B4" s="24" t="str">
        <f>E7</f>
        <v>$1,000</v>
      </c>
      <c r="C4" s="31" t="str">
        <f t="shared" ref="C4:C5" si="1">B4*12</f>
        <v>$12,000</v>
      </c>
      <c r="D4" s="32" t="s">
        <v>57</v>
      </c>
      <c r="E4" s="32" t="s">
        <v>58</v>
      </c>
      <c r="F4" s="9" t="s">
        <v>59</v>
      </c>
    </row>
    <row r="5">
      <c r="A5" s="9" t="s">
        <v>60</v>
      </c>
      <c r="B5" s="23" t="str">
        <f> 'Monthly Costs'!E17</f>
        <v>$213</v>
      </c>
      <c r="C5" s="23" t="str">
        <f t="shared" si="1"/>
        <v>$2,556</v>
      </c>
      <c r="D5" s="32" t="s">
        <v>61</v>
      </c>
      <c r="E5" s="32" t="s">
        <v>62</v>
      </c>
      <c r="F5" s="9" t="s">
        <v>63</v>
      </c>
    </row>
    <row r="6">
      <c r="A6" s="25" t="s">
        <v>64</v>
      </c>
      <c r="B6" s="8"/>
      <c r="C6" s="33" t="s">
        <v>65</v>
      </c>
      <c r="D6" s="33" t="s">
        <v>66</v>
      </c>
      <c r="E6" s="33" t="s">
        <v>67</v>
      </c>
    </row>
    <row r="7">
      <c r="A7" s="34" t="s">
        <v>68</v>
      </c>
      <c r="B7" s="8"/>
      <c r="C7" s="23">
        <v>800.0</v>
      </c>
      <c r="D7" s="23">
        <v>1200.0</v>
      </c>
      <c r="E7" s="24" t="str">
        <f>ROUND(AVERAGE(C7:D7),0)</f>
        <v>$1,000</v>
      </c>
    </row>
    <row r="9" ht="19.5" customHeight="1">
      <c r="A9" s="2" t="s">
        <v>69</v>
      </c>
      <c r="B9" s="3"/>
      <c r="C9" s="3"/>
      <c r="D9" s="3"/>
      <c r="E9" s="3"/>
      <c r="F9" s="4"/>
    </row>
    <row r="10">
      <c r="A10" s="35" t="s">
        <v>10</v>
      </c>
      <c r="B10" s="7"/>
      <c r="C10" s="8"/>
      <c r="D10" s="11" t="str">
        <f t="shared" ref="D10:D11" si="2">C4</f>
        <v>$12,000</v>
      </c>
      <c r="E10" s="7"/>
      <c r="F10" s="8"/>
    </row>
    <row r="11">
      <c r="A11" s="35" t="s">
        <v>8</v>
      </c>
      <c r="B11" s="7"/>
      <c r="C11" s="8"/>
      <c r="D11" s="11" t="str">
        <f t="shared" si="2"/>
        <v>$2,556</v>
      </c>
      <c r="E11" s="7"/>
      <c r="F11" s="8"/>
    </row>
    <row r="12">
      <c r="A12" s="35" t="s">
        <v>11</v>
      </c>
      <c r="B12" s="7"/>
      <c r="C12" s="8"/>
      <c r="D12" s="11" t="str">
        <f>C4-C5</f>
        <v>$9,444</v>
      </c>
      <c r="E12" s="7"/>
      <c r="F12" s="8"/>
    </row>
    <row r="13">
      <c r="A13" s="35" t="s">
        <v>12</v>
      </c>
      <c r="B13" s="7"/>
      <c r="C13" s="8"/>
      <c r="D13" s="12" t="str">
        <f>IF(C4=0,0,(C4-C5)/C4)</f>
        <v>78.7%</v>
      </c>
      <c r="E13" s="7"/>
      <c r="F13" s="8"/>
    </row>
    <row r="14">
      <c r="A14" s="35" t="s">
        <v>4</v>
      </c>
      <c r="B14" s="7"/>
      <c r="C14" s="8"/>
      <c r="D14" s="10" t="str">
        <f>'One-Time Setup'!E11</f>
        <v>$1,200</v>
      </c>
      <c r="E14" s="7"/>
      <c r="F14" s="8"/>
    </row>
    <row r="15">
      <c r="A15" s="35" t="s">
        <v>13</v>
      </c>
      <c r="B15" s="7"/>
      <c r="C15" s="8"/>
      <c r="D15" s="36" t="str">
        <f>IF((B4-B5)&lt;=0,"-",ROUND(('One-Time Setup'!E11)/(B4-B5),1))</f>
        <v>1.5</v>
      </c>
      <c r="E15" s="7"/>
      <c r="F1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6">
    <mergeCell ref="A7:B7"/>
    <mergeCell ref="A1:F1"/>
    <mergeCell ref="A6:B6"/>
    <mergeCell ref="A10:C10"/>
    <mergeCell ref="A9:F9"/>
    <mergeCell ref="D10:F10"/>
    <mergeCell ref="D12:F12"/>
    <mergeCell ref="A12:C12"/>
    <mergeCell ref="D11:F11"/>
    <mergeCell ref="A11:C11"/>
    <mergeCell ref="A13:C13"/>
    <mergeCell ref="D13:F13"/>
    <mergeCell ref="D14:F14"/>
    <mergeCell ref="A15:C15"/>
    <mergeCell ref="A14:C14"/>
    <mergeCell ref="D15:F15"/>
  </mergeCells>
  <printOptions/>
  <pageMargins bottom="0.75" footer="0.0" header="0.0" left="0.7" right="0.7" top="0.75"/>
  <pageSetup orientation="landscape"/>
  <drawing r:id="rId1"/>
</worksheet>
</file>